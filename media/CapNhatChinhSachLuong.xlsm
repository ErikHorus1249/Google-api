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ownload1\"/>
    </mc:Choice>
  </mc:AlternateContent>
  <bookViews>
    <workbookView xWindow="0" yWindow="0" windowWidth="19200" windowHeight="705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" l="1"/>
  <c r="G11" i="1"/>
  <c r="H10" i="1"/>
  <c r="G10" i="1"/>
  <c r="H9" i="1"/>
  <c r="G9" i="1"/>
  <c r="H8" i="1"/>
  <c r="G8" i="1"/>
  <c r="H7" i="1"/>
  <c r="G7" i="1"/>
  <c r="H6" i="1"/>
  <c r="G6" i="1"/>
  <c r="H5" i="1"/>
  <c r="G5" i="1"/>
  <c r="H4" i="1"/>
  <c r="G4" i="1"/>
  <c r="H3" i="1"/>
  <c r="H15" i="1" s="1"/>
  <c r="G3" i="1"/>
  <c r="J1" i="1"/>
  <c r="J3" i="1" l="1"/>
  <c r="J7" i="1"/>
  <c r="J11" i="1"/>
  <c r="J6" i="1"/>
  <c r="G12" i="1"/>
  <c r="H12" i="1"/>
  <c r="H14" i="1"/>
  <c r="G14" i="1"/>
  <c r="I4" i="1"/>
  <c r="J4" i="1" s="1"/>
  <c r="I6" i="1"/>
  <c r="I8" i="1"/>
  <c r="J8" i="1" s="1"/>
  <c r="I10" i="1"/>
  <c r="J10" i="1" s="1"/>
  <c r="G13" i="1"/>
  <c r="G15" i="1"/>
  <c r="H13" i="1"/>
  <c r="I3" i="1"/>
  <c r="I5" i="1"/>
  <c r="J5" i="1" s="1"/>
  <c r="I7" i="1"/>
  <c r="I9" i="1"/>
  <c r="J9" i="1" s="1"/>
  <c r="I11" i="1"/>
  <c r="J15" i="1" l="1"/>
  <c r="J13" i="1"/>
  <c r="J14" i="1"/>
  <c r="J12" i="1"/>
  <c r="I15" i="1"/>
  <c r="I13" i="1"/>
  <c r="I14" i="1"/>
  <c r="I12" i="1"/>
</calcChain>
</file>

<file path=xl/sharedStrings.xml><?xml version="1.0" encoding="utf-8"?>
<sst xmlns="http://schemas.openxmlformats.org/spreadsheetml/2006/main" count="43" uniqueCount="39">
  <si>
    <t>Cty TNHH Thái Dương</t>
  </si>
  <si>
    <t>Tháng:</t>
  </si>
  <si>
    <t>S
T
T</t>
  </si>
  <si>
    <t>HỌ</t>
  </si>
  <si>
    <t>TÊN</t>
  </si>
  <si>
    <t>CHỨC
VỤ</t>
  </si>
  <si>
    <t>LƯƠNG
CĂN
BẢN</t>
  </si>
  <si>
    <t>NGÀY
CÔNG</t>
  </si>
  <si>
    <t>PHỤ
CẤP
CHỨC
VỤ</t>
  </si>
  <si>
    <t>LƯƠNG</t>
  </si>
  <si>
    <t>TẠM
ỨNG</t>
  </si>
  <si>
    <t>CÒN
LẠI</t>
  </si>
  <si>
    <t>Nguyễn Trần</t>
  </si>
  <si>
    <t>Thanh</t>
  </si>
  <si>
    <t>GĐ</t>
  </si>
  <si>
    <t xml:space="preserve">Trần Xuân </t>
  </si>
  <si>
    <t>Đức</t>
  </si>
  <si>
    <t>PGĐ</t>
  </si>
  <si>
    <t xml:space="preserve">Lê  </t>
  </si>
  <si>
    <t>Nam</t>
  </si>
  <si>
    <t>TP</t>
  </si>
  <si>
    <t xml:space="preserve">Lê Quý </t>
  </si>
  <si>
    <t xml:space="preserve">An </t>
  </si>
  <si>
    <t>Hoàng</t>
  </si>
  <si>
    <t>Sơn</t>
  </si>
  <si>
    <t>Trần Văn</t>
  </si>
  <si>
    <t>Thành</t>
  </si>
  <si>
    <t>BV</t>
  </si>
  <si>
    <t xml:space="preserve">Nguyễn Văn </t>
  </si>
  <si>
    <t>KT</t>
  </si>
  <si>
    <t>Bùi Xuân</t>
  </si>
  <si>
    <t>Dũng</t>
  </si>
  <si>
    <t>NV</t>
  </si>
  <si>
    <t>Đặng</t>
  </si>
  <si>
    <t>Ly</t>
  </si>
  <si>
    <t>TỔNG CỘNG:</t>
  </si>
  <si>
    <t>TRUNG BÌNH:</t>
  </si>
  <si>
    <t>CAO NHẤT:</t>
  </si>
  <si>
    <t>THẤP NHẤT: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</si>
</sst>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2" xfId="0" applyFont="1" applyBorder="1" applyAlignment="1">
      <alignment horizontal="center"/>
    </xf>
    <xf numFmtId="0" fontId="3" fillId="2" borderId="3" xfId="0" applyFont="1" applyFill="1" applyBorder="1" applyAlignment="1">
      <alignment horizontal="left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/>
    <xf numFmtId="0" fontId="3" fillId="0" borderId="5" xfId="0" applyFont="1" applyBorder="1"/>
    <xf numFmtId="0" fontId="3" fillId="2" borderId="5" xfId="0" applyFont="1" applyFill="1" applyBorder="1"/>
    <xf numFmtId="0" fontId="3" fillId="2" borderId="6" xfId="0" applyFont="1" applyFill="1" applyBorder="1"/>
    <xf numFmtId="1" fontId="3" fillId="2" borderId="5" xfId="0" applyNumberFormat="1" applyFont="1" applyFill="1" applyBorder="1"/>
    <xf numFmtId="1" fontId="3" fillId="2" borderId="7" xfId="0" applyNumberFormat="1" applyFont="1" applyFill="1" applyBorder="1"/>
    <xf numFmtId="0" fontId="3" fillId="0" borderId="8" xfId="0" applyFont="1" applyBorder="1" applyAlignment="1">
      <alignment horizontal="center"/>
    </xf>
    <xf numFmtId="0" fontId="3" fillId="0" borderId="9" xfId="0" applyFont="1" applyBorder="1" applyAlignment="1"/>
    <xf numFmtId="0" fontId="3" fillId="0" borderId="0" xfId="0" applyFont="1"/>
    <xf numFmtId="0" fontId="3" fillId="2" borderId="9" xfId="0" applyFont="1" applyFill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6"/>
  <sheetViews>
    <sheetView tabSelected="1" workbookViewId="0">
      <selection sqref="A1:K15"/>
    </sheetView>
  </sheetViews>
  <sheetFormatPr defaultRowHeight="14.5" x14ac:dyDescent="0.35"/>
  <sheetData>
    <row r="1" spans="1:10" ht="16.5" thickTop="1" thickBot="1" x14ac:dyDescent="0.4">
      <c r="A1" s="18" t="s">
        <v>0</v>
      </c>
      <c r="B1" s="19"/>
      <c r="C1" s="19"/>
      <c r="D1" s="19"/>
      <c r="E1" s="19"/>
      <c r="F1" s="19"/>
      <c r="G1" s="19"/>
      <c r="H1" s="19"/>
      <c r="I1" s="1" t="s">
        <v>1</v>
      </c>
      <c r="J1" s="2">
        <f ca="1">MONTH(TODAY())</f>
        <v>7</v>
      </c>
    </row>
    <row r="2" spans="1:10" ht="62.5" thickBot="1" x14ac:dyDescent="0.4">
      <c r="A2" s="3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4" t="s">
        <v>8</v>
      </c>
      <c r="H2" s="5" t="s">
        <v>9</v>
      </c>
      <c r="I2" s="4" t="s">
        <v>10</v>
      </c>
      <c r="J2" s="6" t="s">
        <v>11</v>
      </c>
    </row>
    <row r="3" spans="1:10" ht="16" thickBot="1" x14ac:dyDescent="0.4">
      <c r="A3" s="7">
        <v>4</v>
      </c>
      <c r="B3" s="8" t="s">
        <v>12</v>
      </c>
      <c r="C3" s="8" t="s">
        <v>13</v>
      </c>
      <c r="D3" s="9" t="s">
        <v>14</v>
      </c>
      <c r="E3" s="9">
        <v>5000</v>
      </c>
      <c r="F3" s="9">
        <v>30</v>
      </c>
      <c r="G3" s="10">
        <f t="shared" ref="G3:G11" si="0">IF(D3="GĐ",500,IF(D3="PGĐ",400,IF(D3="TP",300,IF(D3="KT",250,100))))</f>
        <v>500</v>
      </c>
      <c r="H3" s="11">
        <f t="shared" ref="H3:H11" si="1">E3*F3</f>
        <v>150000</v>
      </c>
      <c r="I3" s="12">
        <f t="shared" ref="I3:I11" si="2">IF((G3+H3)*2/3&lt;25000,ROUND((G3+H3)*2/3,-3),25000)</f>
        <v>25000</v>
      </c>
      <c r="J3" s="13">
        <f t="shared" ref="J3:J11" si="3">G3+H3-I3</f>
        <v>125500</v>
      </c>
    </row>
    <row r="4" spans="1:10" ht="16" thickBot="1" x14ac:dyDescent="0.4">
      <c r="A4" s="7">
        <v>5</v>
      </c>
      <c r="B4" s="8" t="s">
        <v>15</v>
      </c>
      <c r="C4" s="8" t="s">
        <v>16</v>
      </c>
      <c r="D4" s="9" t="s">
        <v>17</v>
      </c>
      <c r="E4" s="9">
        <v>4000</v>
      </c>
      <c r="F4" s="9">
        <v>30</v>
      </c>
      <c r="G4" s="10">
        <f t="shared" si="0"/>
        <v>400</v>
      </c>
      <c r="H4" s="11">
        <f t="shared" si="1"/>
        <v>120000</v>
      </c>
      <c r="I4" s="12">
        <f t="shared" si="2"/>
        <v>25000</v>
      </c>
      <c r="J4" s="13">
        <f t="shared" si="3"/>
        <v>95400</v>
      </c>
    </row>
    <row r="5" spans="1:10" ht="16" thickBot="1" x14ac:dyDescent="0.4">
      <c r="A5" s="7">
        <v>8</v>
      </c>
      <c r="B5" s="8" t="s">
        <v>18</v>
      </c>
      <c r="C5" s="8" t="s">
        <v>19</v>
      </c>
      <c r="D5" s="9" t="s">
        <v>20</v>
      </c>
      <c r="E5" s="9">
        <v>3000</v>
      </c>
      <c r="F5" s="9">
        <v>28</v>
      </c>
      <c r="G5" s="10">
        <f t="shared" si="0"/>
        <v>300</v>
      </c>
      <c r="H5" s="11">
        <f t="shared" si="1"/>
        <v>84000</v>
      </c>
      <c r="I5" s="12">
        <f t="shared" si="2"/>
        <v>25000</v>
      </c>
      <c r="J5" s="13">
        <f t="shared" si="3"/>
        <v>59300</v>
      </c>
    </row>
    <row r="6" spans="1:10" ht="16" thickBot="1" x14ac:dyDescent="0.4">
      <c r="A6" s="7">
        <v>3</v>
      </c>
      <c r="B6" s="8" t="s">
        <v>21</v>
      </c>
      <c r="C6" s="8" t="s">
        <v>22</v>
      </c>
      <c r="D6" s="9" t="s">
        <v>20</v>
      </c>
      <c r="E6" s="9">
        <v>3000</v>
      </c>
      <c r="F6" s="9">
        <v>21</v>
      </c>
      <c r="G6" s="10">
        <f t="shared" si="0"/>
        <v>300</v>
      </c>
      <c r="H6" s="11">
        <f t="shared" si="1"/>
        <v>63000</v>
      </c>
      <c r="I6" s="12">
        <f t="shared" si="2"/>
        <v>25000</v>
      </c>
      <c r="J6" s="13">
        <f t="shared" si="3"/>
        <v>38300</v>
      </c>
    </row>
    <row r="7" spans="1:10" ht="16" thickBot="1" x14ac:dyDescent="0.4">
      <c r="A7" s="7">
        <v>6</v>
      </c>
      <c r="B7" s="8" t="s">
        <v>23</v>
      </c>
      <c r="C7" s="8" t="s">
        <v>24</v>
      </c>
      <c r="D7" s="9" t="s">
        <v>20</v>
      </c>
      <c r="E7" s="9">
        <v>2000</v>
      </c>
      <c r="F7" s="9">
        <v>29</v>
      </c>
      <c r="G7" s="10">
        <f t="shared" si="0"/>
        <v>300</v>
      </c>
      <c r="H7" s="11">
        <f t="shared" si="1"/>
        <v>58000</v>
      </c>
      <c r="I7" s="12">
        <f t="shared" si="2"/>
        <v>25000</v>
      </c>
      <c r="J7" s="13">
        <f t="shared" si="3"/>
        <v>33300</v>
      </c>
    </row>
    <row r="8" spans="1:10" ht="16" thickBot="1" x14ac:dyDescent="0.4">
      <c r="A8" s="7">
        <v>2</v>
      </c>
      <c r="B8" s="8" t="s">
        <v>25</v>
      </c>
      <c r="C8" s="8" t="s">
        <v>26</v>
      </c>
      <c r="D8" s="9" t="s">
        <v>27</v>
      </c>
      <c r="E8" s="9">
        <v>1000</v>
      </c>
      <c r="F8" s="9">
        <v>30</v>
      </c>
      <c r="G8" s="10">
        <f t="shared" si="0"/>
        <v>100</v>
      </c>
      <c r="H8" s="11">
        <f t="shared" si="1"/>
        <v>30000</v>
      </c>
      <c r="I8" s="12">
        <f t="shared" si="2"/>
        <v>20000</v>
      </c>
      <c r="J8" s="13">
        <f t="shared" si="3"/>
        <v>10100</v>
      </c>
    </row>
    <row r="9" spans="1:10" ht="16" thickBot="1" x14ac:dyDescent="0.4">
      <c r="A9" s="7">
        <v>7</v>
      </c>
      <c r="B9" s="8" t="s">
        <v>28</v>
      </c>
      <c r="C9" s="8" t="s">
        <v>22</v>
      </c>
      <c r="D9" s="9" t="s">
        <v>29</v>
      </c>
      <c r="E9" s="9">
        <v>1000</v>
      </c>
      <c r="F9" s="9">
        <v>30</v>
      </c>
      <c r="G9" s="10">
        <f t="shared" si="0"/>
        <v>250</v>
      </c>
      <c r="H9" s="11">
        <f t="shared" si="1"/>
        <v>30000</v>
      </c>
      <c r="I9" s="12">
        <f t="shared" si="2"/>
        <v>20000</v>
      </c>
      <c r="J9" s="13">
        <f t="shared" si="3"/>
        <v>10250</v>
      </c>
    </row>
    <row r="10" spans="1:10" ht="16" thickBot="1" x14ac:dyDescent="0.4">
      <c r="A10" s="7">
        <v>9</v>
      </c>
      <c r="B10" s="8" t="s">
        <v>30</v>
      </c>
      <c r="C10" s="8" t="s">
        <v>31</v>
      </c>
      <c r="D10" s="9" t="s">
        <v>32</v>
      </c>
      <c r="E10" s="9">
        <v>1000</v>
      </c>
      <c r="F10" s="9">
        <v>27</v>
      </c>
      <c r="G10" s="10">
        <f t="shared" si="0"/>
        <v>100</v>
      </c>
      <c r="H10" s="11">
        <f t="shared" si="1"/>
        <v>27000</v>
      </c>
      <c r="I10" s="12">
        <f t="shared" si="2"/>
        <v>18000</v>
      </c>
      <c r="J10" s="13">
        <f t="shared" si="3"/>
        <v>9100</v>
      </c>
    </row>
    <row r="11" spans="1:10" ht="16" thickBot="1" x14ac:dyDescent="0.4">
      <c r="A11" s="14">
        <v>1</v>
      </c>
      <c r="B11" s="15" t="s">
        <v>33</v>
      </c>
      <c r="C11" s="15" t="s">
        <v>34</v>
      </c>
      <c r="D11" s="9" t="s">
        <v>32</v>
      </c>
      <c r="E11" s="9">
        <v>1000</v>
      </c>
      <c r="F11" s="9">
        <v>24</v>
      </c>
      <c r="G11" s="10">
        <f t="shared" si="0"/>
        <v>100</v>
      </c>
      <c r="H11" s="11">
        <f t="shared" si="1"/>
        <v>24000</v>
      </c>
      <c r="I11" s="12">
        <f t="shared" si="2"/>
        <v>16000</v>
      </c>
      <c r="J11" s="13">
        <f t="shared" si="3"/>
        <v>8100</v>
      </c>
    </row>
    <row r="12" spans="1:10" ht="16.5" thickTop="1" thickBot="1" x14ac:dyDescent="0.4">
      <c r="A12" s="16"/>
      <c r="B12" s="16"/>
      <c r="C12" s="16"/>
      <c r="D12" s="20" t="s">
        <v>35</v>
      </c>
      <c r="E12" s="21"/>
      <c r="F12" s="21"/>
      <c r="G12" s="10">
        <f>SUM(G3:G11)</f>
        <v>2350</v>
      </c>
      <c r="H12" s="10">
        <f>SUM(H3:H11)</f>
        <v>586000</v>
      </c>
      <c r="I12" s="10">
        <f t="shared" ref="I12:J12" si="4">SUM(I3:I11)</f>
        <v>199000</v>
      </c>
      <c r="J12" s="10">
        <f t="shared" si="4"/>
        <v>389350</v>
      </c>
    </row>
    <row r="13" spans="1:10" ht="16" thickBot="1" x14ac:dyDescent="0.4">
      <c r="A13" s="16"/>
      <c r="B13" s="16"/>
      <c r="C13" s="16"/>
      <c r="D13" s="20" t="s">
        <v>36</v>
      </c>
      <c r="E13" s="21"/>
      <c r="F13" s="21"/>
      <c r="G13" s="10">
        <f>ROUND(AVERAGE(G3:G11),0)</f>
        <v>261</v>
      </c>
      <c r="H13" s="10">
        <f>ROUND(AVERAGE(H3:H11),-3)</f>
        <v>65000</v>
      </c>
      <c r="I13" s="10">
        <f t="shared" ref="I13:J13" si="5">ROUND(AVERAGE(I3:I11),-3)</f>
        <v>22000</v>
      </c>
      <c r="J13" s="10">
        <f t="shared" si="5"/>
        <v>43000</v>
      </c>
    </row>
    <row r="14" spans="1:10" ht="16" thickBot="1" x14ac:dyDescent="0.4">
      <c r="A14" s="16"/>
      <c r="B14" s="16"/>
      <c r="C14" s="16"/>
      <c r="D14" s="20" t="s">
        <v>37</v>
      </c>
      <c r="E14" s="21"/>
      <c r="F14" s="21"/>
      <c r="G14" s="10">
        <f>MAX(G3:G11)</f>
        <v>500</v>
      </c>
      <c r="H14" s="10">
        <f t="shared" ref="H14:J14" si="6">MAX(H3:H11)</f>
        <v>150000</v>
      </c>
      <c r="I14" s="10">
        <f t="shared" si="6"/>
        <v>25000</v>
      </c>
      <c r="J14" s="10">
        <f t="shared" si="6"/>
        <v>125500</v>
      </c>
    </row>
    <row r="15" spans="1:10" ht="16" thickBot="1" x14ac:dyDescent="0.4">
      <c r="A15" s="16"/>
      <c r="B15" s="16"/>
      <c r="C15" s="16"/>
      <c r="D15" s="22" t="s">
        <v>38</v>
      </c>
      <c r="E15" s="23"/>
      <c r="F15" s="23"/>
      <c r="G15" s="17">
        <f>MIN(G3:G11)</f>
        <v>100</v>
      </c>
      <c r="H15" s="17">
        <f t="shared" ref="H15:J15" si="7">MIN(H3:H11)</f>
        <v>24000</v>
      </c>
      <c r="I15" s="17">
        <f t="shared" si="7"/>
        <v>16000</v>
      </c>
      <c r="J15" s="17">
        <f t="shared" si="7"/>
        <v>8100</v>
      </c>
    </row>
    <row r="16" spans="1:10" ht="15" thickTop="1" x14ac:dyDescent="0.35"/>
  </sheetData>
  <mergeCells count="5">
    <mergeCell ref="A1:H1"/>
    <mergeCell ref="D12:F12"/>
    <mergeCell ref="D13:F13"/>
    <mergeCell ref="D14:F14"/>
    <mergeCell ref="D15:F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ky</dc:creator>
  <cp:lastModifiedBy>Erik Horus</cp:lastModifiedBy>
  <dcterms:created xsi:type="dcterms:W3CDTF">2021-07-06T14:59:52Z</dcterms:created>
  <dcterms:modified xsi:type="dcterms:W3CDTF">2021-07-10T17:57:06Z</dcterms:modified>
</cp:coreProperties>
</file>